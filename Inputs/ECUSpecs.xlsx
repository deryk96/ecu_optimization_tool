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-my.sharepoint-mil.us/personal/deryk_l_clary_mil_usmc_mil/Documents/Documents/VS Code/1. Air Conditioners/Inputs/XLS Files/"/>
    </mc:Choice>
  </mc:AlternateContent>
  <xr:revisionPtr revIDLastSave="36" documentId="8_{119B4761-BC1C-411D-80A4-A6DC2720C6FF}" xr6:coauthVersionLast="47" xr6:coauthVersionMax="47" xr10:uidLastSave="{2586C56C-4A96-49B5-9E04-EAD45C933CBC}"/>
  <bookViews>
    <workbookView xWindow="-28920" yWindow="90" windowWidth="29040" windowHeight="15510" xr2:uid="{60A86E40-7E2F-4C45-AF44-FF6C3ADE04BA}"/>
  </bookViews>
  <sheets>
    <sheet name="ECUSpe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2" i="1"/>
  <c r="K3" i="1"/>
  <c r="K4" i="1"/>
  <c r="K5" i="1"/>
  <c r="K2" i="1"/>
  <c r="J3" i="1"/>
  <c r="J4" i="1"/>
  <c r="J5" i="1"/>
  <c r="J2" i="1"/>
  <c r="I3" i="1"/>
  <c r="I4" i="1"/>
  <c r="I5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Clary Capt Deryk L</author>
  </authors>
  <commentList>
    <comment ref="A1" authorId="0" shapeId="0" xr:uid="{B9BA830D-F74A-4702-96DC-CA3133A324BE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ECU Name</t>
        </r>
      </text>
    </comment>
    <comment ref="B1" authorId="0" shapeId="0" xr:uid="{39AAE4D9-5DE0-440F-A77F-3C729DB85A98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The maximum BTU/hr capacity</t>
        </r>
      </text>
    </comment>
    <comment ref="C1" authorId="0" shapeId="0" xr:uid="{6743C209-2B6A-4EE1-B2BF-F2099FD60B13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Heating capacity of the unit in BTU/hr.
Input 0 if the unit does not have the ability to generate heat.</t>
        </r>
      </text>
    </comment>
    <comment ref="D1" authorId="0" shapeId="0" xr:uid="{12358330-A682-44D8-BBF3-A27477260CFB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The maximum amount of electrical load produced by the unit.</t>
        </r>
      </text>
    </comment>
    <comment ref="E1" authorId="0" shapeId="0" xr:uid="{CA22DA69-A337-4697-92E5-7140B25277EF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The cost of an individual unit. Current values obtained from TDM Catalyst.
The current inputs are solely the procurement cost of a single unit. User can change this to include operations and maintence cost if the data is available.</t>
        </r>
      </text>
    </comment>
    <comment ref="F1" authorId="0" shapeId="0" xr:uid="{2941FCA1-3989-4B87-A58C-A2FC5F222FF8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The weight of the unit.</t>
        </r>
      </text>
    </comment>
    <comment ref="G1" authorId="0" shapeId="0" xr:uid="{777B2B46-B229-402A-817B-98DB020B0070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The amount of space taken up by the unit.</t>
        </r>
      </text>
    </comment>
    <comment ref="H1" authorId="0" shapeId="0" xr:uid="{497D20C6-4D05-463C-A46C-20AA7191D1C0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True: If the unit is window-mounted.
False: If the unit is not window-mounted.</t>
        </r>
      </text>
    </comment>
    <comment ref="I1" authorId="0" shapeId="0" xr:uid="{8CCC2C55-8BF5-4015-B126-BD278BA5DAA1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Formula calculated: The cost per unit divided by the cooling capacity.
These formula-calculated columns are not needed but are good metrics to fact-check the output of the tool.</t>
        </r>
      </text>
    </comment>
    <comment ref="J1" authorId="0" shapeId="0" xr:uid="{83EBB1B7-07E1-47A4-9C08-CE3DC04175EA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Formula calculated: The amount of power used per BTU/hr</t>
        </r>
      </text>
    </comment>
    <comment ref="K1" authorId="0" shapeId="0" xr:uid="{05336B23-4DF5-4899-8869-5570723A3FD4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Formula calculated: The amount of space taken up per BTU/hr</t>
        </r>
      </text>
    </comment>
    <comment ref="L1" authorId="0" shapeId="0" xr:uid="{FC3D57EC-E239-4FB0-BF44-4EBEB7EC975D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Formula calculated: The number of pounds per BTU/hr</t>
        </r>
      </text>
    </comment>
    <comment ref="A5" authorId="0" shapeId="0" xr:uid="{B6B5962E-C7C3-4FCB-866E-4941B7DF3726}">
      <text>
        <r>
          <rPr>
            <b/>
            <sz val="9"/>
            <color indexed="81"/>
            <rFont val="Tahoma"/>
            <charset val="1"/>
          </rPr>
          <t>Clary Capt Deryk L:</t>
        </r>
        <r>
          <rPr>
            <sz val="9"/>
            <color indexed="81"/>
            <rFont val="Tahoma"/>
            <charset val="1"/>
          </rPr>
          <t xml:space="preserve">
This unit does not exist in USMC inventory. It is simply used for testing.</t>
        </r>
      </text>
    </comment>
  </commentList>
</comments>
</file>

<file path=xl/sharedStrings.xml><?xml version="1.0" encoding="utf-8"?>
<sst xmlns="http://schemas.openxmlformats.org/spreadsheetml/2006/main" count="16" uniqueCount="16">
  <si>
    <t>Unit (ECU)</t>
  </si>
  <si>
    <t>Cooling Capacity (BTU/hr)</t>
  </si>
  <si>
    <t>Cost</t>
  </si>
  <si>
    <t>Weight (lbs)</t>
  </si>
  <si>
    <t>Size (ft3)</t>
  </si>
  <si>
    <t>Window Mount</t>
  </si>
  <si>
    <t>$/BTU</t>
  </si>
  <si>
    <t>KW/BTU</t>
  </si>
  <si>
    <t>ft3/BTU</t>
  </si>
  <si>
    <t>60K</t>
  </si>
  <si>
    <t>36K</t>
  </si>
  <si>
    <t>18K</t>
  </si>
  <si>
    <t>HDT</t>
  </si>
  <si>
    <t>lb/BTU</t>
  </si>
  <si>
    <t>Heating Capacity (BTU/hr)</t>
  </si>
  <si>
    <t>Cooling Load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</si>
</sst>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EBF1-4309-4F37-B65A-956648DAA7CF}">
  <dimension ref="A1:L5"/>
  <sheetViews>
    <sheetView tabSelected="1" workbookViewId="0">
      <selection activeCell="J19" sqref="J19"/>
    </sheetView>
  </sheetViews>
  <sheetFormatPr defaultRowHeight="15" x14ac:dyDescent="0.25"/>
  <cols>
    <col min="1" max="1" width="9.85546875" bestFit="1" customWidth="1"/>
    <col min="2" max="2" width="24" bestFit="1" customWidth="1"/>
    <col min="3" max="3" width="24" customWidth="1"/>
    <col min="4" max="4" width="17.85546875" bestFit="1" customWidth="1"/>
    <col min="5" max="5" width="9" bestFit="1" customWidth="1"/>
    <col min="6" max="6" width="11.5703125" bestFit="1" customWidth="1"/>
    <col min="7" max="7" width="8.42578125" bestFit="1" customWidth="1"/>
    <col min="8" max="8" width="14.28515625" bestFit="1" customWidth="1"/>
    <col min="9" max="11" width="12" bestFit="1" customWidth="1"/>
  </cols>
  <sheetData>
    <row r="1" spans="1:12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</row>
    <row r="2" spans="1:12" x14ac:dyDescent="0.25">
      <c r="A2" s="2" t="s">
        <v>9</v>
      </c>
      <c r="B2" s="2">
        <v>60000</v>
      </c>
      <c r="C2" s="2">
        <v>37000</v>
      </c>
      <c r="D2" s="2">
        <v>12.9</v>
      </c>
      <c r="E2" s="2">
        <v>20251</v>
      </c>
      <c r="F2" s="2">
        <v>560</v>
      </c>
      <c r="G2" s="2">
        <v>48.4</v>
      </c>
      <c r="H2" s="2" t="b">
        <v>0</v>
      </c>
      <c r="I2" s="3">
        <f>E2/B2</f>
        <v>0.33751666666666669</v>
      </c>
      <c r="J2" s="3">
        <f>D2/B2</f>
        <v>2.1499999999999999E-4</v>
      </c>
      <c r="K2" s="3">
        <f>G2/B2</f>
        <v>8.0666666666666669E-4</v>
      </c>
      <c r="L2" s="4">
        <f>F2/B2</f>
        <v>9.3333333333333341E-3</v>
      </c>
    </row>
    <row r="3" spans="1:12" x14ac:dyDescent="0.25">
      <c r="A3" s="2" t="s">
        <v>10</v>
      </c>
      <c r="B3" s="2">
        <v>36000</v>
      </c>
      <c r="C3" s="2">
        <v>31000</v>
      </c>
      <c r="D3" s="2">
        <v>7.7</v>
      </c>
      <c r="E3" s="2">
        <v>15092</v>
      </c>
      <c r="F3" s="2">
        <v>472</v>
      </c>
      <c r="G3" s="2">
        <v>43.3</v>
      </c>
      <c r="H3" s="2" t="b">
        <v>0</v>
      </c>
      <c r="I3" s="3">
        <f>E3/B3</f>
        <v>0.41922222222222222</v>
      </c>
      <c r="J3" s="3">
        <f>D3/B3</f>
        <v>2.138888888888889E-4</v>
      </c>
      <c r="K3" s="3">
        <f>G3/B3</f>
        <v>1.2027777777777777E-3</v>
      </c>
      <c r="L3" s="4">
        <f>F3/B3</f>
        <v>1.3111111111111112E-2</v>
      </c>
    </row>
    <row r="4" spans="1:12" x14ac:dyDescent="0.25">
      <c r="A4" s="2" t="s">
        <v>11</v>
      </c>
      <c r="B4" s="2">
        <v>18000</v>
      </c>
      <c r="C4" s="2">
        <v>14700</v>
      </c>
      <c r="D4" s="2">
        <v>5.0999999999999996</v>
      </c>
      <c r="E4" s="2">
        <v>10020.66</v>
      </c>
      <c r="F4" s="2">
        <v>230</v>
      </c>
      <c r="G4" s="2">
        <v>9.6999999999999993</v>
      </c>
      <c r="H4" s="2" t="b">
        <v>1</v>
      </c>
      <c r="I4" s="3">
        <f>E4/B4</f>
        <v>0.55670333333333333</v>
      </c>
      <c r="J4" s="3">
        <f>D4/B4</f>
        <v>2.833333333333333E-4</v>
      </c>
      <c r="K4" s="3">
        <f>G4/B4</f>
        <v>5.3888888888888888E-4</v>
      </c>
      <c r="L4" s="4">
        <f>F4/B4</f>
        <v>1.2777777777777779E-2</v>
      </c>
    </row>
    <row r="5" spans="1:12" x14ac:dyDescent="0.25">
      <c r="A5" s="2" t="s">
        <v>12</v>
      </c>
      <c r="B5" s="2">
        <v>72000</v>
      </c>
      <c r="C5" s="2">
        <v>40000</v>
      </c>
      <c r="D5" s="2">
        <v>21.1</v>
      </c>
      <c r="E5" s="2">
        <v>22000</v>
      </c>
      <c r="F5" s="2">
        <v>540</v>
      </c>
      <c r="G5" s="2">
        <v>30.18</v>
      </c>
      <c r="H5" s="2" t="b">
        <v>0</v>
      </c>
      <c r="I5" s="3">
        <f>E5/B5</f>
        <v>0.30555555555555558</v>
      </c>
      <c r="J5" s="3">
        <f>D5/B5</f>
        <v>2.9305555555555557E-4</v>
      </c>
      <c r="K5" s="3">
        <f>G5/B5</f>
        <v>4.1916666666666665E-4</v>
      </c>
      <c r="L5" s="4">
        <f>F5/B5</f>
        <v>7.4999999999999997E-3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4c44cda-18c6-46b0-80f2-e290072444fd}" enabled="0" method="" siteId="{f4c44cda-18c6-46b0-80f2-e29007244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Clary Capt Deryk L</dc:creator>
  <cp:lastModifiedBy>Clary Capt Deryk L</cp:lastModifiedBy>
  <dcterms:created xsi:type="dcterms:W3CDTF">2025-10-03T14:07:20Z</dcterms:created>
  <dcterms:modified xsi:type="dcterms:W3CDTF">2025-10-03T14:40:42Z</dcterms:modified>
</cp:coreProperties>
</file>